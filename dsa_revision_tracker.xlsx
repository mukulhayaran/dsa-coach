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4"/>
    <sheet state="visible" name="Today" sheetId="2" r:id="rId5"/>
    <sheet state="visible" name="Log" sheetId="3" r:id="rId6"/>
    <sheet state="visible" name="Intervals" sheetId="4" r:id="rId7"/>
  </sheets>
  <definedNames/>
  <calcPr/>
  <extLst>
    <ext uri="GoogleSheetsCustomDataVersion2">
      <go:sheetsCustomData xmlns:go="http://customooxmlschemas.google.com/" r:id="rId8" roundtripDataChecksum="aWVa64Uilx/hKRdS2byMXEBLjVPdk9ktKP8ynhHx3VQ="/>
    </ext>
  </extLst>
</workbook>
</file>

<file path=xl/sharedStrings.xml><?xml version="1.0" encoding="utf-8"?>
<sst xmlns="http://schemas.openxmlformats.org/spreadsheetml/2006/main" count="236" uniqueCount="130">
  <si>
    <t>DSA REVISION TRACKER — how it works</t>
  </si>
  <si>
    <t>THE RULE: a problem is not 'done' when you understand it. It is done when you have solved it COLD (blank file, no hints) twice, spaced apart.</t>
  </si>
  <si>
    <t>STATUS LADDER:  SEEDED → COLD-1 → COLD-2 → OWNED</t>
  </si>
  <si>
    <t xml:space="preserve">  SEEDED  = you solved it before but needed help. It must be re-solved cold.</t>
  </si>
  <si>
    <t xml:space="preserve">  COLD-1  = solved cold once. Next revisit in +3 days.</t>
  </si>
  <si>
    <t xml:space="preserve">  COLD-2  = solved cold twice. Next revisit in +7 days.</t>
  </si>
  <si>
    <t xml:space="preserve">  OWNED   = solved cold three times. Out of rotation (only returns if you fail it in a self-test).</t>
  </si>
  <si>
    <t>DAILY MECHANIC (in the Log sheet):</t>
  </si>
  <si>
    <t xml:space="preserve">  1. Filter/scan the 'Next revisit' column for dates &lt;= today.</t>
  </si>
  <si>
    <t xml:space="preserve">  2. For each due problem: open a BLANK file. 25-minute cap. No looking at old code.</t>
  </si>
  <si>
    <t xml:space="preserve">  3. Solved cold (correct, no hints, within cap)? -&gt; set Result = Cold, bump Status one rung, set Next revisit using the interval.</t>
  </si>
  <si>
    <t xml:space="preserve">  4. Needed help or ran out of time? -&gt; set Result = Help, Status stays (or drops to SEEDED), Next revisit = today + 2.</t>
  </si>
  <si>
    <t xml:space="preserve">  5. New problems you solve go in as new rows: Status = COLD-1 if solved cold, SEEDED if you needed help.</t>
  </si>
  <si>
    <t>WHAT COUNTS AS 'COLD':</t>
  </si>
  <si>
    <t xml:space="preserve">  Blank editor. You may re-derive the idea, that's the point. You may NOT peek at the editorial, your old code, or hints.</t>
  </si>
  <si>
    <t xml:space="preserve">  Compiles/passes in your head or on LeetCode within ~25 min for mediums (~15 for easies).</t>
  </si>
  <si>
    <t>THE 'Next revisit' COLUMN IS THE WHOLE SYSTEM:</t>
  </si>
  <si>
    <t xml:space="preserve">  Every morning, the due rows ARE your revision session. No deciding, no mood. The sheet decides.</t>
  </si>
  <si>
    <t xml:space="preserve">  Conflict between due revisits and a new problem? Revisits win. Always.</t>
  </si>
  <si>
    <t>YOUR SEEDING WEEK (Mon 15 Jun - Sun 21 Jun) is pre-scheduled in the Log sheet:</t>
  </si>
  <si>
    <t xml:space="preserve">  Your 20 done problems (Arrays&amp;Hashing, Two Pointers, Sliding Window) are spread 4 per day, Mon-Fri.</t>
  </si>
  <si>
    <t xml:space="preserve">  Treat each as a fresh cold solve. Expect to fail several - that is the system working, not you failing.</t>
  </si>
  <si>
    <t xml:space="preserve">  Saturday: clear anything that slipped + first +2d retries land. Sunday: LeetCode contest.</t>
  </si>
  <si>
    <t xml:space="preserve">  From Mon 22 Jun: steady state = Slot 1 new problem (Stack onward), Slot 2 due revisits, Slot 3 log.</t>
  </si>
  <si>
    <t>Today's date:</t>
  </si>
  <si>
    <t>Revisits due today or overdue:</t>
  </si>
  <si>
    <t>Problems OWNED so far:</t>
  </si>
  <si>
    <t>Total problems in system:</t>
  </si>
  <si>
    <t>To see WHICH are due: go to Log, sort/filter column I (Next revisit) ascending.</t>
  </si>
  <si>
    <t>#</t>
  </si>
  <si>
    <t>Problem</t>
  </si>
  <si>
    <t>Pattern</t>
  </si>
  <si>
    <t>Difficulty</t>
  </si>
  <si>
    <t>First done</t>
  </si>
  <si>
    <t>Status</t>
  </si>
  <si>
    <t>Last attempt</t>
  </si>
  <si>
    <t>Result</t>
  </si>
  <si>
    <t>Next revisit</t>
  </si>
  <si>
    <t>Notes</t>
  </si>
  <si>
    <t>Contains Duplicate</t>
  </si>
  <si>
    <t>Arrays &amp; Hashing</t>
  </si>
  <si>
    <t>Easy</t>
  </si>
  <si>
    <t>COLD-2</t>
  </si>
  <si>
    <t>Cold</t>
  </si>
  <si>
    <t>needed help first time/ez/ez</t>
  </si>
  <si>
    <t>Valid Anagram</t>
  </si>
  <si>
    <t>many ways to do this/ez</t>
  </si>
  <si>
    <t>Two Sum</t>
  </si>
  <si>
    <t>needed help first time/ez</t>
  </si>
  <si>
    <t>Group Anagrams</t>
  </si>
  <si>
    <t>Medium</t>
  </si>
  <si>
    <t>needed help first time/Ez</t>
  </si>
  <si>
    <t>Top K Frequent Elements</t>
  </si>
  <si>
    <t>needed help first time/ done 2nd time/done 3rd</t>
  </si>
  <si>
    <t>Encode and Decode Strings</t>
  </si>
  <si>
    <t>OWNED</t>
  </si>
  <si>
    <t>needed help first time/shitty quesion, dont like it</t>
  </si>
  <si>
    <t>Product of Array Except Self</t>
  </si>
  <si>
    <t>needed help first time/ done 2nd time</t>
  </si>
  <si>
    <t>Valid Sudoku</t>
  </si>
  <si>
    <t>cringe question, not doing it</t>
  </si>
  <si>
    <t>Longest Consecutive Sequence</t>
  </si>
  <si>
    <t>SEEDED</t>
  </si>
  <si>
    <t>Help</t>
  </si>
  <si>
    <t xml:space="preserve">needed help 2nd time /had the right idea/ needed help again :| </t>
  </si>
  <si>
    <t>Valid Palindrome</t>
  </si>
  <si>
    <t>Two Pointers</t>
  </si>
  <si>
    <t>pzez</t>
  </si>
  <si>
    <t>Two Sum II</t>
  </si>
  <si>
    <t>COLD-1</t>
  </si>
  <si>
    <t>ez</t>
  </si>
  <si>
    <t>3Sum</t>
  </si>
  <si>
    <t>had the idea/ dirty code./still struggled, need to trace with pen paper</t>
  </si>
  <si>
    <t>Container With Most Water</t>
  </si>
  <si>
    <t>needed help first time/ needed hint</t>
  </si>
  <si>
    <t>Trapping Rain Water</t>
  </si>
  <si>
    <t>Hard</t>
  </si>
  <si>
    <t>needed help first time/ difficult, got it, should think about it more/ need more tracing , pen paper</t>
  </si>
  <si>
    <t>Best Time to Buy and Sell Stock</t>
  </si>
  <si>
    <t>Sliding Window</t>
  </si>
  <si>
    <t>needed help first time/idiot</t>
  </si>
  <si>
    <t>Longest Substring Without Repeating Characters</t>
  </si>
  <si>
    <t>needed help first time/done</t>
  </si>
  <si>
    <t>Longest Repeating Character Replacement</t>
  </si>
  <si>
    <t>needed help first time</t>
  </si>
  <si>
    <t>Permutation in String</t>
  </si>
  <si>
    <t>Minimum Window Substring</t>
  </si>
  <si>
    <t>needed help first time/ almost did it</t>
  </si>
  <si>
    <t>Sliding Window Maximum</t>
  </si>
  <si>
    <t xml:space="preserve"> Number of Ways to Assign Edge Weights I</t>
  </si>
  <si>
    <t>Tree, dfs,math</t>
  </si>
  <si>
    <t>needed help first time/did it 2nd time</t>
  </si>
  <si>
    <t>hard</t>
  </si>
  <si>
    <t>needed help first time/ did it 2nd time/ not the cleanest/ completely messed up 3rd time</t>
  </si>
  <si>
    <t>stack</t>
  </si>
  <si>
    <t>easy</t>
  </si>
  <si>
    <t>Done / not the cleanest ans (2)</t>
  </si>
  <si>
    <t>Min Stack</t>
  </si>
  <si>
    <t>Had the idea/ needed help/did it cold but confused/ (3)slightly confused</t>
  </si>
  <si>
    <r>
      <rPr>
        <color rgb="FF1155CC"/>
        <u/>
      </rPr>
      <t>Daily Temperatures</t>
    </r>
  </si>
  <si>
    <t>Monotonic Stack, next greater element pattern</t>
  </si>
  <si>
    <t>car fleet</t>
  </si>
  <si>
    <t>needed help/weird soln, have 1 doubt still/ should trace</t>
  </si>
  <si>
    <r>
      <rPr>
        <rFont val="-apple-system, BlinkMacSystemFont, &quot;Segoe UI&quot;, Helvetica, Arial, sans-serif, &quot;Apple Color Emoji&quot;, &quot;Segoe UI Emoji&quot;"/>
        <color rgb="FF1155CC"/>
        <u/>
      </rPr>
      <t>Maximum Twin Sum of a Linked List</t>
    </r>
  </si>
  <si>
    <t>LL</t>
  </si>
  <si>
    <t>did it cold but not the fastest soln// shit question tbh//not doing it rn</t>
  </si>
  <si>
    <r>
      <rPr>
        <color rgb="FF1155CC"/>
        <u/>
      </rPr>
      <t>84. Largest Rectangle in Histogram</t>
    </r>
  </si>
  <si>
    <t>Stack</t>
  </si>
  <si>
    <t xml:space="preserve">Hard </t>
  </si>
  <si>
    <t>needed help, nge,pge logic/(2) , almost did on my own</t>
  </si>
  <si>
    <r>
      <rPr>
        <color rgb="FF1155CC"/>
        <u/>
      </rPr>
      <t>Search a 2D Matrix</t>
    </r>
  </si>
  <si>
    <t>bin search</t>
  </si>
  <si>
    <t>had the right idea but still looked</t>
  </si>
  <si>
    <t>Koko eating bananas</t>
  </si>
  <si>
    <t>bin search on ans</t>
  </si>
  <si>
    <t>done</t>
  </si>
  <si>
    <r>
      <rPr>
        <color rgb="FF1155CC"/>
        <u/>
      </rPr>
      <t>Find Minimum In Rotated Sorted Array</t>
    </r>
  </si>
  <si>
    <t>binsearch</t>
  </si>
  <si>
    <t>done but not clean</t>
  </si>
  <si>
    <t>If Result =</t>
  </si>
  <si>
    <t>Then Status becomes</t>
  </si>
  <si>
    <t>And Next revisit =</t>
  </si>
  <si>
    <t>Cold (was SEEDED)</t>
  </si>
  <si>
    <t>attempt date + 3 days</t>
  </si>
  <si>
    <t>Cold (was COLD-1)</t>
  </si>
  <si>
    <t>attempt date + 7 days</t>
  </si>
  <si>
    <t>Cold (was COLD-2)</t>
  </si>
  <si>
    <t>blank (out of rotation)</t>
  </si>
  <si>
    <t>Help (any status)</t>
  </si>
  <si>
    <t>attempt date + 2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</si>
</sst>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\-mmm\-yyyy"/>
    <numFmt numFmtId="165" formatCode="dd\-mmm"/>
    <numFmt numFmtId="166" formatCode="m/d/yy"/>
    <numFmt numFmtId="167" formatCode="d-mmm"/>
    <numFmt numFmtId="168" formatCode="d- mmm"/>
  </numFmts>
  <fonts count="9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b/>
      <sz val="11.0"/>
      <color rgb="FFFFFFFF"/>
      <name val="Arial"/>
    </font>
    <font>
      <color theme="1"/>
      <name val="Calibri"/>
      <scheme val="minor"/>
    </font>
    <font>
      <u/>
      <color rgb="FF0000FF"/>
    </font>
    <font>
      <u/>
      <color rgb="FF0000FF"/>
    </font>
    <font>
      <u/>
      <color rgb="FFFFFFFF"/>
      <name val="-apple-system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1A1A1A"/>
        <bgColor rgb="FF1A1A1A"/>
      </patternFill>
    </fill>
    <fill>
      <patternFill patternType="solid">
        <fgColor rgb="FFD9E2F3"/>
        <bgColor rgb="FFD9E2F3"/>
      </patternFill>
    </fill>
  </fills>
  <borders count="4">
    <border/>
    <border>
      <left/>
      <right/>
      <top/>
      <bottom/>
    </border>
    <border>
      <bottom style="thin">
        <color rgb="FFD9D9D9"/>
      </bottom>
    </border>
    <border>
      <left/>
      <right/>
      <top/>
      <bottom style="thin">
        <color rgb="FFD9D9D9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1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2" numFmtId="165" xfId="0" applyAlignment="1" applyBorder="1" applyFont="1" applyNumberFormat="1">
      <alignment shrinkToFit="0" vertical="bottom" wrapText="0"/>
    </xf>
    <xf borderId="3" fillId="3" fontId="2" numFmtId="0" xfId="0" applyAlignment="1" applyBorder="1" applyFill="1" applyFont="1">
      <alignment horizontal="center" readingOrder="0" shrinkToFit="0" vertical="bottom" wrapText="0"/>
    </xf>
    <xf borderId="2" fillId="0" fontId="2" numFmtId="165" xfId="0" applyAlignment="1" applyBorder="1" applyFont="1" applyNumberFormat="1">
      <alignment readingOrder="0" shrinkToFit="0" vertical="bottom" wrapText="0"/>
    </xf>
    <xf borderId="2" fillId="0" fontId="2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3" fillId="3" fontId="2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5" numFmtId="168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4" fontId="8" numFmtId="0" xfId="0" applyAlignment="1" applyFill="1" applyFont="1">
      <alignment readingOrder="0" shrinkToFit="0" wrapText="1"/>
    </xf>
    <xf borderId="0" fillId="0" fontId="5" numFmtId="0" xfId="0" applyFont="1"/>
    <xf borderId="1" fillId="5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window-substring/" TargetMode="External"/><Relationship Id="rId2" Type="http://schemas.openxmlformats.org/officeDocument/2006/relationships/hyperlink" Target="https://leetcode.com/problems/daily-temperatures/" TargetMode="External"/><Relationship Id="rId3" Type="http://schemas.openxmlformats.org/officeDocument/2006/relationships/hyperlink" Target="https://leetcode.com/problems/maximum-twin-sum-of-a-linked-list/" TargetMode="External"/><Relationship Id="rId4" Type="http://schemas.openxmlformats.org/officeDocument/2006/relationships/hyperlink" Target="https://leetcode.com/problems/largest-rectangle-in-histogram/" TargetMode="External"/><Relationship Id="rId5" Type="http://schemas.openxmlformats.org/officeDocument/2006/relationships/hyperlink" Target="https://leetcode.com/problems/search-a-2d-matrix/" TargetMode="External"/><Relationship Id="rId6" Type="http://schemas.openxmlformats.org/officeDocument/2006/relationships/hyperlink" Target="https://neetcode.io/problems/find-minimum-in-rotated-sorted-array/question?list=neetcode150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/>
    </row>
    <row r="3">
      <c r="A3" s="2" t="s">
        <v>1</v>
      </c>
    </row>
    <row r="4">
      <c r="A4" s="2"/>
    </row>
    <row r="5">
      <c r="A5" s="1" t="s">
        <v>2</v>
      </c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 t="s">
        <v>6</v>
      </c>
    </row>
    <row r="10">
      <c r="A10" s="2"/>
    </row>
    <row r="11">
      <c r="A11" s="1" t="s">
        <v>7</v>
      </c>
    </row>
    <row r="12">
      <c r="A12" s="2" t="s">
        <v>8</v>
      </c>
    </row>
    <row r="13">
      <c r="A13" s="2" t="s">
        <v>9</v>
      </c>
    </row>
    <row r="14">
      <c r="A14" s="2" t="s">
        <v>10</v>
      </c>
    </row>
    <row r="15">
      <c r="A15" s="2" t="s">
        <v>11</v>
      </c>
    </row>
    <row r="16">
      <c r="A16" s="2" t="s">
        <v>12</v>
      </c>
    </row>
    <row r="17">
      <c r="A17" s="2"/>
    </row>
    <row r="18">
      <c r="A18" s="1" t="s">
        <v>13</v>
      </c>
    </row>
    <row r="19">
      <c r="A19" s="2" t="s">
        <v>14</v>
      </c>
    </row>
    <row r="20">
      <c r="A20" s="2" t="s">
        <v>15</v>
      </c>
    </row>
    <row r="21" ht="15.75" customHeight="1">
      <c r="A21" s="2"/>
    </row>
    <row r="22" ht="15.75" customHeight="1">
      <c r="A22" s="1" t="s">
        <v>16</v>
      </c>
    </row>
    <row r="23" ht="15.75" customHeight="1">
      <c r="A23" s="2" t="s">
        <v>17</v>
      </c>
    </row>
    <row r="24" ht="15.75" customHeight="1">
      <c r="A24" s="2" t="s">
        <v>18</v>
      </c>
    </row>
    <row r="25" ht="15.75" customHeight="1">
      <c r="A25" s="2"/>
    </row>
    <row r="26" ht="15.75" customHeight="1">
      <c r="A26" s="1" t="s">
        <v>19</v>
      </c>
    </row>
    <row r="27" ht="15.75" customHeight="1">
      <c r="A27" s="2" t="s">
        <v>20</v>
      </c>
    </row>
    <row r="28" ht="15.75" customHeight="1">
      <c r="A28" s="2" t="s">
        <v>21</v>
      </c>
    </row>
    <row r="29" ht="15.75" customHeight="1">
      <c r="A29" s="2" t="s">
        <v>22</v>
      </c>
    </row>
    <row r="30" ht="15.75" customHeight="1">
      <c r="A30" s="2" t="s">
        <v>23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3" t="s">
        <v>24</v>
      </c>
      <c r="B1" s="4">
        <f>TODAY()</f>
        <v>46194</v>
      </c>
    </row>
    <row r="2">
      <c r="A2" s="5"/>
      <c r="B2" s="5"/>
    </row>
    <row r="3">
      <c r="A3" s="3" t="s">
        <v>25</v>
      </c>
      <c r="B3" s="5">
        <f>COUNTIFS(Log!I2:I400,"&lt;="&amp;TODAY(),Log!F2:F400,"&lt;&gt;OWNED",Log!B2:B400,"&lt;&gt;")</f>
        <v>23</v>
      </c>
    </row>
    <row r="4">
      <c r="A4" s="3" t="s">
        <v>26</v>
      </c>
      <c r="B4" s="5">
        <f>COUNTIF(Log!F2:F400,"OWNED")</f>
        <v>5</v>
      </c>
    </row>
    <row r="5">
      <c r="A5" s="3" t="s">
        <v>27</v>
      </c>
      <c r="B5" s="5">
        <f>COUNTIF(Log!B2:B400,"&lt;&gt;")</f>
        <v>31</v>
      </c>
    </row>
    <row r="6">
      <c r="A6" s="5"/>
      <c r="B6" s="5"/>
    </row>
    <row r="7">
      <c r="A7" s="6" t="s">
        <v>28</v>
      </c>
      <c r="B7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38.0"/>
    <col customWidth="1" min="3" max="3" width="18.0"/>
    <col customWidth="1" min="4" max="4" width="11.0"/>
    <col customWidth="1" min="5" max="5" width="12.0"/>
    <col customWidth="1" min="6" max="6" width="10.0"/>
    <col customWidth="1" min="7" max="7" width="13.0"/>
    <col customWidth="1" min="8" max="8" width="10.0"/>
    <col customWidth="1" min="9" max="9" width="13.0"/>
    <col customWidth="1" min="10" max="10" width="30.0"/>
    <col customWidth="1" min="11" max="26" width="8.71"/>
  </cols>
  <sheetData>
    <row r="1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</row>
    <row r="2">
      <c r="A2" s="8">
        <v>1.0</v>
      </c>
      <c r="B2" s="9" t="s">
        <v>39</v>
      </c>
      <c r="C2" s="9" t="s">
        <v>40</v>
      </c>
      <c r="D2" s="8" t="s">
        <v>41</v>
      </c>
      <c r="E2" s="10"/>
      <c r="F2" s="11" t="s">
        <v>42</v>
      </c>
      <c r="G2" s="12">
        <v>46191.0</v>
      </c>
      <c r="H2" s="13" t="s">
        <v>43</v>
      </c>
      <c r="I2" s="12">
        <v>46194.0</v>
      </c>
      <c r="J2" s="14" t="s">
        <v>44</v>
      </c>
    </row>
    <row r="3">
      <c r="A3" s="8">
        <v>2.0</v>
      </c>
      <c r="B3" s="9" t="s">
        <v>45</v>
      </c>
      <c r="C3" s="9" t="s">
        <v>40</v>
      </c>
      <c r="D3" s="8" t="s">
        <v>41</v>
      </c>
      <c r="E3" s="10"/>
      <c r="F3" s="11" t="s">
        <v>42</v>
      </c>
      <c r="G3" s="12">
        <v>46191.0</v>
      </c>
      <c r="H3" s="13" t="s">
        <v>43</v>
      </c>
      <c r="I3" s="12">
        <v>46194.0</v>
      </c>
      <c r="J3" s="14" t="s">
        <v>46</v>
      </c>
    </row>
    <row r="4">
      <c r="A4" s="8">
        <v>3.0</v>
      </c>
      <c r="B4" s="9" t="s">
        <v>47</v>
      </c>
      <c r="C4" s="9" t="s">
        <v>40</v>
      </c>
      <c r="D4" s="8" t="s">
        <v>41</v>
      </c>
      <c r="E4" s="10"/>
      <c r="F4" s="11" t="s">
        <v>42</v>
      </c>
      <c r="G4" s="12">
        <v>38886.0</v>
      </c>
      <c r="H4" s="13" t="s">
        <v>43</v>
      </c>
      <c r="I4" s="12">
        <v>46194.0</v>
      </c>
      <c r="J4" s="14" t="s">
        <v>48</v>
      </c>
    </row>
    <row r="5">
      <c r="A5" s="8">
        <v>4.0</v>
      </c>
      <c r="B5" s="9" t="s">
        <v>49</v>
      </c>
      <c r="C5" s="9" t="s">
        <v>40</v>
      </c>
      <c r="D5" s="8" t="s">
        <v>50</v>
      </c>
      <c r="E5" s="10"/>
      <c r="F5" s="11" t="s">
        <v>42</v>
      </c>
      <c r="G5" s="12">
        <v>46191.0</v>
      </c>
      <c r="H5" s="13" t="s">
        <v>43</v>
      </c>
      <c r="I5" s="12">
        <v>46194.0</v>
      </c>
      <c r="J5" s="14" t="s">
        <v>51</v>
      </c>
    </row>
    <row r="6">
      <c r="A6" s="8">
        <v>5.0</v>
      </c>
      <c r="B6" s="9" t="s">
        <v>52</v>
      </c>
      <c r="C6" s="9" t="s">
        <v>40</v>
      </c>
      <c r="D6" s="8" t="s">
        <v>50</v>
      </c>
      <c r="E6" s="10"/>
      <c r="F6" s="11" t="s">
        <v>42</v>
      </c>
      <c r="G6" s="12">
        <v>46191.0</v>
      </c>
      <c r="H6" s="13" t="s">
        <v>43</v>
      </c>
      <c r="I6" s="12">
        <v>46194.0</v>
      </c>
      <c r="J6" s="14" t="s">
        <v>53</v>
      </c>
    </row>
    <row r="7">
      <c r="A7" s="8">
        <v>6.0</v>
      </c>
      <c r="B7" s="9" t="s">
        <v>54</v>
      </c>
      <c r="C7" s="9" t="s">
        <v>40</v>
      </c>
      <c r="D7" s="8" t="s">
        <v>50</v>
      </c>
      <c r="E7" s="10"/>
      <c r="F7" s="11" t="s">
        <v>55</v>
      </c>
      <c r="G7" s="10"/>
      <c r="H7" s="13" t="s">
        <v>43</v>
      </c>
      <c r="I7" s="10"/>
      <c r="J7" s="14" t="s">
        <v>56</v>
      </c>
    </row>
    <row r="8">
      <c r="A8" s="8">
        <v>7.0</v>
      </c>
      <c r="B8" s="9" t="s">
        <v>57</v>
      </c>
      <c r="C8" s="9" t="s">
        <v>40</v>
      </c>
      <c r="D8" s="8" t="s">
        <v>50</v>
      </c>
      <c r="E8" s="10"/>
      <c r="F8" s="11" t="s">
        <v>42</v>
      </c>
      <c r="G8" s="12">
        <v>46189.0</v>
      </c>
      <c r="H8" s="13" t="s">
        <v>43</v>
      </c>
      <c r="I8" s="12">
        <v>46195.0</v>
      </c>
      <c r="J8" s="14" t="s">
        <v>58</v>
      </c>
    </row>
    <row r="9">
      <c r="A9" s="8">
        <v>8.0</v>
      </c>
      <c r="B9" s="9" t="s">
        <v>59</v>
      </c>
      <c r="C9" s="9" t="s">
        <v>40</v>
      </c>
      <c r="D9" s="8" t="s">
        <v>50</v>
      </c>
      <c r="E9" s="10"/>
      <c r="F9" s="11" t="s">
        <v>55</v>
      </c>
      <c r="G9" s="10"/>
      <c r="H9" s="13" t="s">
        <v>43</v>
      </c>
      <c r="I9" s="10"/>
      <c r="J9" s="14" t="s">
        <v>60</v>
      </c>
    </row>
    <row r="10">
      <c r="A10" s="8">
        <v>9.0</v>
      </c>
      <c r="B10" s="9" t="s">
        <v>61</v>
      </c>
      <c r="C10" s="9" t="s">
        <v>40</v>
      </c>
      <c r="D10" s="8" t="s">
        <v>50</v>
      </c>
      <c r="E10" s="10"/>
      <c r="F10" s="15" t="s">
        <v>62</v>
      </c>
      <c r="G10" s="12">
        <v>46190.0</v>
      </c>
      <c r="H10" s="13" t="s">
        <v>63</v>
      </c>
      <c r="I10" s="12">
        <v>46194.0</v>
      </c>
      <c r="J10" s="14" t="s">
        <v>64</v>
      </c>
    </row>
    <row r="11">
      <c r="A11" s="8">
        <v>10.0</v>
      </c>
      <c r="B11" s="9" t="s">
        <v>65</v>
      </c>
      <c r="C11" s="9" t="s">
        <v>66</v>
      </c>
      <c r="D11" s="8" t="s">
        <v>41</v>
      </c>
      <c r="E11" s="10"/>
      <c r="F11" s="11" t="s">
        <v>55</v>
      </c>
      <c r="G11" s="12">
        <v>46190.0</v>
      </c>
      <c r="H11" s="13" t="s">
        <v>43</v>
      </c>
      <c r="I11" s="10"/>
      <c r="J11" s="14" t="s">
        <v>67</v>
      </c>
    </row>
    <row r="12">
      <c r="A12" s="8">
        <v>11.0</v>
      </c>
      <c r="B12" s="9" t="s">
        <v>68</v>
      </c>
      <c r="C12" s="9" t="s">
        <v>66</v>
      </c>
      <c r="D12" s="8" t="s">
        <v>50</v>
      </c>
      <c r="E12" s="10"/>
      <c r="F12" s="11" t="s">
        <v>69</v>
      </c>
      <c r="G12" s="12">
        <v>46190.0</v>
      </c>
      <c r="H12" s="13" t="s">
        <v>43</v>
      </c>
      <c r="I12" s="12">
        <v>46193.0</v>
      </c>
      <c r="J12" s="14" t="s">
        <v>70</v>
      </c>
    </row>
    <row r="13">
      <c r="A13" s="8">
        <v>12.0</v>
      </c>
      <c r="B13" s="9" t="s">
        <v>71</v>
      </c>
      <c r="C13" s="9" t="s">
        <v>66</v>
      </c>
      <c r="D13" s="8" t="s">
        <v>50</v>
      </c>
      <c r="E13" s="10"/>
      <c r="F13" s="15" t="s">
        <v>62</v>
      </c>
      <c r="G13" s="12">
        <v>46194.0</v>
      </c>
      <c r="H13" s="13" t="s">
        <v>63</v>
      </c>
      <c r="I13" s="12">
        <v>46195.0</v>
      </c>
      <c r="J13" s="14" t="s">
        <v>72</v>
      </c>
    </row>
    <row r="14">
      <c r="A14" s="8">
        <v>13.0</v>
      </c>
      <c r="B14" s="9" t="s">
        <v>73</v>
      </c>
      <c r="C14" s="9" t="s">
        <v>66</v>
      </c>
      <c r="D14" s="8" t="s">
        <v>50</v>
      </c>
      <c r="E14" s="10"/>
      <c r="F14" s="11" t="s">
        <v>69</v>
      </c>
      <c r="G14" s="10"/>
      <c r="H14" s="13" t="s">
        <v>43</v>
      </c>
      <c r="I14" s="12">
        <v>46194.0</v>
      </c>
      <c r="J14" s="14" t="s">
        <v>74</v>
      </c>
    </row>
    <row r="15">
      <c r="A15" s="8">
        <v>14.0</v>
      </c>
      <c r="B15" s="9" t="s">
        <v>75</v>
      </c>
      <c r="C15" s="9" t="s">
        <v>66</v>
      </c>
      <c r="D15" s="8" t="s">
        <v>76</v>
      </c>
      <c r="E15" s="10"/>
      <c r="F15" s="11" t="s">
        <v>69</v>
      </c>
      <c r="G15" s="12">
        <v>46193.0</v>
      </c>
      <c r="H15" s="13" t="s">
        <v>63</v>
      </c>
      <c r="I15" s="12">
        <v>46195.0</v>
      </c>
      <c r="J15" s="14" t="s">
        <v>77</v>
      </c>
    </row>
    <row r="16">
      <c r="A16" s="8">
        <v>15.0</v>
      </c>
      <c r="B16" s="9" t="s">
        <v>78</v>
      </c>
      <c r="C16" s="9" t="s">
        <v>79</v>
      </c>
      <c r="D16" s="8" t="s">
        <v>41</v>
      </c>
      <c r="E16" s="10"/>
      <c r="F16" s="15" t="s">
        <v>62</v>
      </c>
      <c r="G16" s="12">
        <v>46191.0</v>
      </c>
      <c r="H16" s="13" t="s">
        <v>63</v>
      </c>
      <c r="I16" s="12">
        <v>46193.0</v>
      </c>
      <c r="J16" s="14" t="s">
        <v>80</v>
      </c>
    </row>
    <row r="17">
      <c r="A17" s="8">
        <v>16.0</v>
      </c>
      <c r="B17" s="9" t="s">
        <v>81</v>
      </c>
      <c r="C17" s="9" t="s">
        <v>79</v>
      </c>
      <c r="D17" s="8" t="s">
        <v>50</v>
      </c>
      <c r="E17" s="10"/>
      <c r="F17" s="11" t="s">
        <v>69</v>
      </c>
      <c r="G17" s="12">
        <v>46191.0</v>
      </c>
      <c r="H17" s="13" t="s">
        <v>43</v>
      </c>
      <c r="I17" s="12">
        <v>46194.0</v>
      </c>
      <c r="J17" s="14" t="s">
        <v>82</v>
      </c>
    </row>
    <row r="18">
      <c r="A18" s="8">
        <v>17.0</v>
      </c>
      <c r="B18" s="9" t="s">
        <v>83</v>
      </c>
      <c r="C18" s="9" t="s">
        <v>79</v>
      </c>
      <c r="D18" s="8" t="s">
        <v>50</v>
      </c>
      <c r="E18" s="10"/>
      <c r="F18" s="15" t="s">
        <v>62</v>
      </c>
      <c r="G18" s="10"/>
      <c r="H18" s="8"/>
      <c r="I18" s="10">
        <v>46192.0</v>
      </c>
      <c r="J18" s="9" t="s">
        <v>84</v>
      </c>
    </row>
    <row r="19">
      <c r="A19" s="8">
        <v>18.0</v>
      </c>
      <c r="B19" s="9" t="s">
        <v>85</v>
      </c>
      <c r="C19" s="9" t="s">
        <v>79</v>
      </c>
      <c r="D19" s="8" t="s">
        <v>50</v>
      </c>
      <c r="E19" s="10"/>
      <c r="F19" s="15" t="s">
        <v>62</v>
      </c>
      <c r="G19" s="10"/>
      <c r="H19" s="8"/>
      <c r="I19" s="10">
        <v>46192.0</v>
      </c>
      <c r="J19" s="9" t="s">
        <v>84</v>
      </c>
    </row>
    <row r="20">
      <c r="A20" s="8">
        <v>19.0</v>
      </c>
      <c r="B20" s="9" t="s">
        <v>86</v>
      </c>
      <c r="C20" s="9" t="s">
        <v>79</v>
      </c>
      <c r="D20" s="8" t="s">
        <v>76</v>
      </c>
      <c r="E20" s="10"/>
      <c r="F20" s="15" t="s">
        <v>62</v>
      </c>
      <c r="G20" s="10"/>
      <c r="H20" s="8"/>
      <c r="I20" s="10">
        <v>46192.0</v>
      </c>
      <c r="J20" s="14" t="s">
        <v>87</v>
      </c>
    </row>
    <row r="21" ht="15.75" customHeight="1">
      <c r="A21" s="8">
        <v>20.0</v>
      </c>
      <c r="B21" s="9" t="s">
        <v>88</v>
      </c>
      <c r="C21" s="9" t="s">
        <v>79</v>
      </c>
      <c r="D21" s="8" t="s">
        <v>76</v>
      </c>
      <c r="E21" s="10"/>
      <c r="F21" s="15" t="s">
        <v>62</v>
      </c>
      <c r="G21" s="10"/>
      <c r="H21" s="8"/>
      <c r="I21" s="10">
        <v>46192.0</v>
      </c>
      <c r="J21" s="9" t="s">
        <v>84</v>
      </c>
    </row>
    <row r="22" ht="15.75" customHeight="1">
      <c r="A22" s="16">
        <v>21.0</v>
      </c>
      <c r="B22" s="16" t="s">
        <v>89</v>
      </c>
      <c r="C22" s="16" t="s">
        <v>90</v>
      </c>
      <c r="D22" s="16" t="s">
        <v>50</v>
      </c>
      <c r="E22" s="17">
        <v>46184.0</v>
      </c>
      <c r="F22" s="16" t="s">
        <v>42</v>
      </c>
      <c r="G22" s="17">
        <v>46190.0</v>
      </c>
      <c r="H22" s="16" t="s">
        <v>43</v>
      </c>
      <c r="I22" s="18">
        <v>46193.0</v>
      </c>
      <c r="J22" s="16" t="s">
        <v>91</v>
      </c>
    </row>
    <row r="23" ht="15.75" customHeight="1">
      <c r="A23" s="16">
        <v>22.0</v>
      </c>
      <c r="B23" s="19" t="s">
        <v>86</v>
      </c>
      <c r="C23" s="16" t="s">
        <v>79</v>
      </c>
      <c r="D23" s="16" t="s">
        <v>92</v>
      </c>
      <c r="E23" s="17">
        <v>46185.0</v>
      </c>
      <c r="F23" s="16" t="s">
        <v>62</v>
      </c>
      <c r="G23" s="17">
        <v>46190.0</v>
      </c>
      <c r="H23" s="16" t="s">
        <v>63</v>
      </c>
      <c r="I23" s="18">
        <v>46192.0</v>
      </c>
      <c r="J23" s="16" t="s">
        <v>93</v>
      </c>
    </row>
    <row r="24" ht="15.75" customHeight="1">
      <c r="A24" s="16">
        <v>23.0</v>
      </c>
      <c r="B24" s="16" t="s">
        <v>65</v>
      </c>
      <c r="C24" s="16" t="s">
        <v>94</v>
      </c>
      <c r="D24" s="16" t="s">
        <v>95</v>
      </c>
      <c r="E24" s="17">
        <v>46185.0</v>
      </c>
      <c r="F24" s="16" t="s">
        <v>55</v>
      </c>
      <c r="G24" s="17">
        <v>46190.0</v>
      </c>
      <c r="H24" s="16" t="s">
        <v>43</v>
      </c>
      <c r="I24" s="18"/>
      <c r="J24" s="16" t="s">
        <v>96</v>
      </c>
    </row>
    <row r="25" ht="15.75" customHeight="1">
      <c r="A25" s="16">
        <v>24.0</v>
      </c>
      <c r="B25" s="16" t="s">
        <v>97</v>
      </c>
      <c r="C25" s="16" t="s">
        <v>94</v>
      </c>
      <c r="D25" s="16" t="s">
        <v>50</v>
      </c>
      <c r="E25" s="17">
        <v>46185.0</v>
      </c>
      <c r="F25" s="16" t="s">
        <v>42</v>
      </c>
      <c r="G25" s="17">
        <v>46190.0</v>
      </c>
      <c r="H25" s="16" t="s">
        <v>43</v>
      </c>
      <c r="I25" s="20">
        <v>46193.0</v>
      </c>
      <c r="J25" s="16" t="s">
        <v>98</v>
      </c>
    </row>
    <row r="26" ht="15.75" customHeight="1">
      <c r="A26" s="16">
        <v>25.0</v>
      </c>
      <c r="B26" s="21" t="s">
        <v>99</v>
      </c>
      <c r="C26" s="16" t="s">
        <v>94</v>
      </c>
      <c r="D26" s="16" t="s">
        <v>50</v>
      </c>
      <c r="E26" s="17">
        <v>46186.0</v>
      </c>
      <c r="F26" s="16" t="s">
        <v>69</v>
      </c>
      <c r="G26" s="17">
        <v>46190.0</v>
      </c>
      <c r="H26" s="16" t="s">
        <v>43</v>
      </c>
      <c r="I26" s="18">
        <v>46193.0</v>
      </c>
      <c r="J26" s="16" t="s">
        <v>100</v>
      </c>
    </row>
    <row r="27" ht="15.75" customHeight="1">
      <c r="A27" s="16">
        <v>26.0</v>
      </c>
      <c r="B27" s="16" t="s">
        <v>101</v>
      </c>
      <c r="C27" s="16" t="s">
        <v>94</v>
      </c>
      <c r="D27" s="16" t="s">
        <v>50</v>
      </c>
      <c r="E27" s="17">
        <v>46190.0</v>
      </c>
      <c r="F27" s="16" t="s">
        <v>69</v>
      </c>
      <c r="G27" s="17">
        <v>46190.0</v>
      </c>
      <c r="H27" s="16" t="s">
        <v>43</v>
      </c>
      <c r="I27" s="20">
        <v>46193.0</v>
      </c>
      <c r="J27" s="16" t="s">
        <v>102</v>
      </c>
    </row>
    <row r="28" ht="15.75" customHeight="1">
      <c r="A28" s="16">
        <v>27.0</v>
      </c>
      <c r="B28" s="22" t="s">
        <v>103</v>
      </c>
      <c r="C28" s="16" t="s">
        <v>104</v>
      </c>
      <c r="D28" s="16" t="s">
        <v>50</v>
      </c>
      <c r="E28" s="17">
        <v>46187.0</v>
      </c>
      <c r="F28" s="16" t="s">
        <v>55</v>
      </c>
      <c r="G28" s="17">
        <v>46187.0</v>
      </c>
      <c r="H28" s="16" t="s">
        <v>43</v>
      </c>
      <c r="I28" s="18"/>
      <c r="J28" s="16" t="s">
        <v>105</v>
      </c>
    </row>
    <row r="29" ht="15.75" customHeight="1">
      <c r="A29" s="16">
        <v>28.0</v>
      </c>
      <c r="B29" s="21" t="s">
        <v>106</v>
      </c>
      <c r="C29" s="16" t="s">
        <v>107</v>
      </c>
      <c r="D29" s="16" t="s">
        <v>108</v>
      </c>
      <c r="E29" s="17">
        <v>46188.0</v>
      </c>
      <c r="F29" s="16" t="s">
        <v>62</v>
      </c>
      <c r="G29" s="17">
        <v>46190.0</v>
      </c>
      <c r="H29" s="16" t="s">
        <v>63</v>
      </c>
      <c r="I29" s="17">
        <v>46192.0</v>
      </c>
      <c r="J29" s="16" t="s">
        <v>109</v>
      </c>
    </row>
    <row r="30" ht="15.75" customHeight="1">
      <c r="A30" s="16">
        <v>29.0</v>
      </c>
      <c r="B30" s="21" t="s">
        <v>110</v>
      </c>
      <c r="C30" s="16" t="s">
        <v>111</v>
      </c>
      <c r="D30" s="16" t="s">
        <v>50</v>
      </c>
      <c r="E30" s="17">
        <v>46188.0</v>
      </c>
      <c r="F30" s="16" t="s">
        <v>69</v>
      </c>
      <c r="G30" s="17">
        <v>46188.0</v>
      </c>
      <c r="H30" s="16" t="s">
        <v>43</v>
      </c>
      <c r="I30" s="18">
        <v>46193.0</v>
      </c>
      <c r="J30" s="16" t="s">
        <v>112</v>
      </c>
    </row>
    <row r="31" ht="15.75" customHeight="1">
      <c r="A31" s="16">
        <v>30.0</v>
      </c>
      <c r="B31" s="16" t="s">
        <v>113</v>
      </c>
      <c r="C31" s="16" t="s">
        <v>114</v>
      </c>
      <c r="D31" s="16" t="s">
        <v>50</v>
      </c>
      <c r="E31" s="17">
        <v>46189.0</v>
      </c>
      <c r="F31" s="16" t="s">
        <v>69</v>
      </c>
      <c r="G31" s="17">
        <v>46189.0</v>
      </c>
      <c r="H31" s="16" t="s">
        <v>43</v>
      </c>
      <c r="I31" s="18">
        <v>46192.0</v>
      </c>
      <c r="J31" s="16" t="s">
        <v>115</v>
      </c>
    </row>
    <row r="32" ht="15.75" customHeight="1">
      <c r="A32" s="16">
        <v>31.0</v>
      </c>
      <c r="B32" s="21" t="s">
        <v>116</v>
      </c>
      <c r="C32" s="16" t="s">
        <v>117</v>
      </c>
      <c r="D32" s="16" t="s">
        <v>50</v>
      </c>
      <c r="E32" s="17">
        <v>46191.0</v>
      </c>
      <c r="F32" s="16" t="s">
        <v>69</v>
      </c>
      <c r="G32" s="17">
        <v>46191.0</v>
      </c>
      <c r="H32" s="16" t="s">
        <v>43</v>
      </c>
      <c r="I32" s="18">
        <v>46194.0</v>
      </c>
      <c r="J32" s="16" t="s">
        <v>118</v>
      </c>
    </row>
    <row r="33" ht="15.75" customHeight="1">
      <c r="F33" s="23"/>
      <c r="H33" s="23"/>
    </row>
    <row r="34" ht="15.75" customHeight="1">
      <c r="F34" s="23"/>
      <c r="H34" s="23"/>
    </row>
    <row r="35" ht="15.75" customHeight="1">
      <c r="F35" s="23"/>
      <c r="H35" s="23"/>
    </row>
    <row r="36" ht="15.75" customHeight="1">
      <c r="F36" s="23"/>
      <c r="H36" s="23"/>
    </row>
    <row r="37" ht="15.75" customHeight="1">
      <c r="F37" s="23"/>
      <c r="H37" s="23"/>
    </row>
    <row r="38" ht="15.75" customHeight="1">
      <c r="F38" s="23"/>
      <c r="H38" s="23"/>
    </row>
    <row r="39" ht="15.75" customHeight="1">
      <c r="F39" s="23"/>
      <c r="H39" s="23"/>
    </row>
    <row r="40" ht="15.75" customHeight="1">
      <c r="F40" s="23"/>
      <c r="H40" s="23"/>
    </row>
    <row r="41" ht="15.75" customHeight="1">
      <c r="F41" s="23"/>
      <c r="H41" s="23"/>
    </row>
    <row r="42" ht="15.75" customHeight="1">
      <c r="F42" s="23"/>
      <c r="H42" s="23"/>
    </row>
    <row r="43" ht="15.75" customHeight="1">
      <c r="F43" s="23"/>
      <c r="H43" s="23"/>
    </row>
    <row r="44" ht="15.75" customHeight="1">
      <c r="F44" s="23"/>
      <c r="H44" s="23"/>
    </row>
    <row r="45" ht="15.75" customHeight="1">
      <c r="F45" s="23"/>
      <c r="H45" s="23"/>
    </row>
    <row r="46" ht="15.75" customHeight="1">
      <c r="F46" s="23"/>
      <c r="H46" s="23"/>
    </row>
    <row r="47" ht="15.75" customHeight="1">
      <c r="F47" s="23"/>
      <c r="H47" s="23"/>
    </row>
    <row r="48" ht="15.75" customHeight="1">
      <c r="F48" s="23"/>
      <c r="H48" s="23"/>
    </row>
    <row r="49" ht="15.75" customHeight="1">
      <c r="F49" s="23"/>
      <c r="H49" s="23"/>
    </row>
    <row r="50" ht="15.75" customHeight="1">
      <c r="F50" s="23"/>
      <c r="H50" s="23"/>
    </row>
    <row r="51" ht="15.75" customHeight="1">
      <c r="F51" s="23"/>
      <c r="H51" s="23"/>
    </row>
    <row r="52" ht="15.75" customHeight="1">
      <c r="F52" s="23"/>
      <c r="H52" s="23"/>
    </row>
    <row r="53" ht="15.75" customHeight="1">
      <c r="F53" s="23"/>
      <c r="H53" s="23"/>
    </row>
    <row r="54" ht="15.75" customHeight="1">
      <c r="F54" s="23"/>
      <c r="H54" s="23"/>
    </row>
    <row r="55" ht="15.75" customHeight="1">
      <c r="F55" s="23"/>
      <c r="H55" s="23"/>
    </row>
    <row r="56" ht="15.75" customHeight="1">
      <c r="F56" s="23"/>
      <c r="H56" s="23"/>
    </row>
    <row r="57" ht="15.75" customHeight="1">
      <c r="F57" s="23"/>
      <c r="H57" s="23"/>
    </row>
    <row r="58" ht="15.75" customHeight="1">
      <c r="F58" s="23"/>
      <c r="H58" s="23"/>
    </row>
    <row r="59" ht="15.75" customHeight="1">
      <c r="F59" s="23"/>
      <c r="H59" s="23"/>
    </row>
    <row r="60" ht="15.75" customHeight="1">
      <c r="F60" s="23"/>
      <c r="H60" s="23"/>
    </row>
    <row r="61" ht="15.75" customHeight="1">
      <c r="F61" s="23"/>
      <c r="H61" s="23"/>
    </row>
    <row r="62" ht="15.75" customHeight="1">
      <c r="F62" s="23"/>
      <c r="H62" s="23"/>
    </row>
    <row r="63" ht="15.75" customHeight="1">
      <c r="F63" s="23"/>
      <c r="H63" s="23"/>
    </row>
    <row r="64" ht="15.75" customHeight="1">
      <c r="F64" s="23"/>
      <c r="H64" s="23"/>
    </row>
    <row r="65" ht="15.75" customHeight="1">
      <c r="F65" s="23"/>
      <c r="H65" s="23"/>
    </row>
    <row r="66" ht="15.75" customHeight="1">
      <c r="F66" s="23"/>
      <c r="H66" s="23"/>
    </row>
    <row r="67" ht="15.75" customHeight="1">
      <c r="F67" s="23"/>
      <c r="H67" s="23"/>
    </row>
    <row r="68" ht="15.75" customHeight="1">
      <c r="F68" s="23"/>
      <c r="H68" s="23"/>
    </row>
    <row r="69" ht="15.75" customHeight="1">
      <c r="F69" s="23"/>
      <c r="H69" s="23"/>
    </row>
    <row r="70" ht="15.75" customHeight="1">
      <c r="F70" s="23"/>
      <c r="H70" s="23"/>
    </row>
    <row r="71" ht="15.75" customHeight="1">
      <c r="F71" s="23"/>
      <c r="H71" s="23"/>
    </row>
    <row r="72" ht="15.75" customHeight="1">
      <c r="F72" s="23"/>
      <c r="H72" s="23"/>
    </row>
    <row r="73" ht="15.75" customHeight="1">
      <c r="F73" s="23"/>
      <c r="H73" s="23"/>
    </row>
    <row r="74" ht="15.75" customHeight="1">
      <c r="F74" s="23"/>
      <c r="H74" s="23"/>
    </row>
    <row r="75" ht="15.75" customHeight="1">
      <c r="F75" s="23"/>
      <c r="H75" s="23"/>
    </row>
    <row r="76" ht="15.75" customHeight="1">
      <c r="F76" s="23"/>
      <c r="H76" s="23"/>
    </row>
    <row r="77" ht="15.75" customHeight="1">
      <c r="F77" s="23"/>
      <c r="H77" s="23"/>
    </row>
    <row r="78" ht="15.75" customHeight="1">
      <c r="F78" s="23"/>
      <c r="H78" s="23"/>
    </row>
    <row r="79" ht="15.75" customHeight="1">
      <c r="F79" s="23"/>
      <c r="H79" s="23"/>
    </row>
    <row r="80" ht="15.75" customHeight="1">
      <c r="F80" s="23"/>
      <c r="H80" s="23"/>
    </row>
    <row r="81" ht="15.75" customHeight="1">
      <c r="F81" s="23"/>
      <c r="H81" s="23"/>
    </row>
    <row r="82" ht="15.75" customHeight="1">
      <c r="F82" s="23"/>
      <c r="H82" s="23"/>
    </row>
    <row r="83" ht="15.75" customHeight="1">
      <c r="F83" s="23"/>
      <c r="H83" s="23"/>
    </row>
    <row r="84" ht="15.75" customHeight="1">
      <c r="F84" s="23"/>
      <c r="H84" s="23"/>
    </row>
    <row r="85" ht="15.75" customHeight="1">
      <c r="F85" s="23"/>
      <c r="H85" s="23"/>
    </row>
    <row r="86" ht="15.75" customHeight="1">
      <c r="F86" s="23"/>
      <c r="H86" s="23"/>
    </row>
    <row r="87" ht="15.75" customHeight="1">
      <c r="F87" s="23"/>
      <c r="H87" s="23"/>
    </row>
    <row r="88" ht="15.75" customHeight="1">
      <c r="F88" s="23"/>
      <c r="H88" s="23"/>
    </row>
    <row r="89" ht="15.75" customHeight="1">
      <c r="F89" s="23"/>
      <c r="H89" s="23"/>
    </row>
    <row r="90" ht="15.75" customHeight="1">
      <c r="F90" s="23"/>
      <c r="H90" s="23"/>
    </row>
    <row r="91" ht="15.75" customHeight="1">
      <c r="F91" s="23"/>
      <c r="H91" s="23"/>
    </row>
    <row r="92" ht="15.75" customHeight="1">
      <c r="F92" s="23"/>
      <c r="H92" s="23"/>
    </row>
    <row r="93" ht="15.75" customHeight="1">
      <c r="F93" s="23"/>
      <c r="H93" s="23"/>
    </row>
    <row r="94" ht="15.75" customHeight="1">
      <c r="F94" s="23"/>
      <c r="H94" s="23"/>
    </row>
    <row r="95" ht="15.75" customHeight="1">
      <c r="F95" s="23"/>
      <c r="H95" s="23"/>
    </row>
    <row r="96" ht="15.75" customHeight="1">
      <c r="F96" s="23"/>
      <c r="H96" s="23"/>
    </row>
    <row r="97" ht="15.75" customHeight="1">
      <c r="F97" s="23"/>
      <c r="H97" s="23"/>
    </row>
    <row r="98" ht="15.75" customHeight="1">
      <c r="F98" s="23"/>
      <c r="H98" s="23"/>
    </row>
    <row r="99" ht="15.75" customHeight="1">
      <c r="F99" s="23"/>
      <c r="H99" s="23"/>
    </row>
    <row r="100" ht="15.75" customHeight="1">
      <c r="F100" s="23"/>
      <c r="H100" s="23"/>
    </row>
    <row r="101" ht="15.75" customHeight="1">
      <c r="F101" s="23"/>
      <c r="H101" s="23"/>
    </row>
    <row r="102" ht="15.75" customHeight="1">
      <c r="F102" s="23"/>
      <c r="H102" s="23"/>
    </row>
    <row r="103" ht="15.75" customHeight="1">
      <c r="F103" s="23"/>
      <c r="H103" s="23"/>
    </row>
    <row r="104" ht="15.75" customHeight="1">
      <c r="F104" s="23"/>
      <c r="H104" s="23"/>
    </row>
    <row r="105" ht="15.75" customHeight="1">
      <c r="F105" s="23"/>
      <c r="H105" s="23"/>
    </row>
    <row r="106" ht="15.75" customHeight="1">
      <c r="F106" s="23"/>
      <c r="H106" s="23"/>
    </row>
    <row r="107" ht="15.75" customHeight="1">
      <c r="F107" s="23"/>
      <c r="H107" s="23"/>
    </row>
    <row r="108" ht="15.75" customHeight="1">
      <c r="F108" s="23"/>
      <c r="H108" s="23"/>
    </row>
    <row r="109" ht="15.75" customHeight="1">
      <c r="F109" s="23"/>
      <c r="H109" s="23"/>
    </row>
    <row r="110" ht="15.75" customHeight="1">
      <c r="F110" s="23"/>
      <c r="H110" s="23"/>
    </row>
    <row r="111" ht="15.75" customHeight="1">
      <c r="F111" s="23"/>
      <c r="H111" s="23"/>
    </row>
    <row r="112" ht="15.75" customHeight="1">
      <c r="F112" s="23"/>
      <c r="H112" s="23"/>
    </row>
    <row r="113" ht="15.75" customHeight="1">
      <c r="F113" s="23"/>
      <c r="H113" s="23"/>
    </row>
    <row r="114" ht="15.75" customHeight="1">
      <c r="F114" s="23"/>
      <c r="H114" s="23"/>
    </row>
    <row r="115" ht="15.75" customHeight="1">
      <c r="F115" s="23"/>
      <c r="H115" s="23"/>
    </row>
    <row r="116" ht="15.75" customHeight="1">
      <c r="F116" s="23"/>
      <c r="H116" s="23"/>
    </row>
    <row r="117" ht="15.75" customHeight="1">
      <c r="F117" s="23"/>
      <c r="H117" s="23"/>
    </row>
    <row r="118" ht="15.75" customHeight="1">
      <c r="F118" s="23"/>
      <c r="H118" s="23"/>
    </row>
    <row r="119" ht="15.75" customHeight="1">
      <c r="F119" s="23"/>
      <c r="H119" s="23"/>
    </row>
    <row r="120" ht="15.75" customHeight="1">
      <c r="F120" s="23"/>
      <c r="H120" s="23"/>
    </row>
    <row r="121" ht="15.75" customHeight="1">
      <c r="F121" s="23"/>
      <c r="H121" s="23"/>
    </row>
    <row r="122" ht="15.75" customHeight="1">
      <c r="F122" s="23"/>
      <c r="H122" s="23"/>
    </row>
    <row r="123" ht="15.75" customHeight="1">
      <c r="F123" s="23"/>
      <c r="H123" s="23"/>
    </row>
    <row r="124" ht="15.75" customHeight="1">
      <c r="F124" s="23"/>
      <c r="H124" s="23"/>
    </row>
    <row r="125" ht="15.75" customHeight="1">
      <c r="F125" s="23"/>
      <c r="H125" s="23"/>
    </row>
    <row r="126" ht="15.75" customHeight="1">
      <c r="F126" s="23"/>
      <c r="H126" s="23"/>
    </row>
    <row r="127" ht="15.75" customHeight="1">
      <c r="F127" s="23"/>
      <c r="H127" s="23"/>
    </row>
    <row r="128" ht="15.75" customHeight="1">
      <c r="F128" s="23"/>
      <c r="H128" s="23"/>
    </row>
    <row r="129" ht="15.75" customHeight="1">
      <c r="F129" s="23"/>
      <c r="H129" s="23"/>
    </row>
    <row r="130" ht="15.75" customHeight="1">
      <c r="F130" s="23"/>
      <c r="H130" s="23"/>
    </row>
    <row r="131" ht="15.75" customHeight="1">
      <c r="F131" s="23"/>
      <c r="H131" s="23"/>
    </row>
    <row r="132" ht="15.75" customHeight="1">
      <c r="F132" s="23"/>
      <c r="H132" s="23"/>
    </row>
    <row r="133" ht="15.75" customHeight="1">
      <c r="F133" s="23"/>
      <c r="H133" s="23"/>
    </row>
    <row r="134" ht="15.75" customHeight="1">
      <c r="F134" s="23"/>
      <c r="H134" s="23"/>
    </row>
    <row r="135" ht="15.75" customHeight="1">
      <c r="F135" s="23"/>
      <c r="H135" s="23"/>
    </row>
    <row r="136" ht="15.75" customHeight="1">
      <c r="F136" s="23"/>
      <c r="H136" s="23"/>
    </row>
    <row r="137" ht="15.75" customHeight="1">
      <c r="F137" s="23"/>
      <c r="H137" s="23"/>
    </row>
    <row r="138" ht="15.75" customHeight="1">
      <c r="F138" s="23"/>
      <c r="H138" s="23"/>
    </row>
    <row r="139" ht="15.75" customHeight="1">
      <c r="F139" s="23"/>
      <c r="H139" s="23"/>
    </row>
    <row r="140" ht="15.75" customHeight="1">
      <c r="F140" s="23"/>
      <c r="H140" s="23"/>
    </row>
    <row r="141" ht="15.75" customHeight="1">
      <c r="F141" s="23"/>
      <c r="H141" s="23"/>
    </row>
    <row r="142" ht="15.75" customHeight="1">
      <c r="F142" s="23"/>
      <c r="H142" s="23"/>
    </row>
    <row r="143" ht="15.75" customHeight="1">
      <c r="F143" s="23"/>
      <c r="H143" s="23"/>
    </row>
    <row r="144" ht="15.75" customHeight="1">
      <c r="F144" s="23"/>
      <c r="H144" s="23"/>
    </row>
    <row r="145" ht="15.75" customHeight="1">
      <c r="F145" s="23"/>
      <c r="H145" s="23"/>
    </row>
    <row r="146" ht="15.75" customHeight="1">
      <c r="F146" s="23"/>
      <c r="H146" s="23"/>
    </row>
    <row r="147" ht="15.75" customHeight="1">
      <c r="F147" s="23"/>
      <c r="H147" s="23"/>
    </row>
    <row r="148" ht="15.75" customHeight="1">
      <c r="F148" s="23"/>
      <c r="H148" s="23"/>
    </row>
    <row r="149" ht="15.75" customHeight="1">
      <c r="F149" s="23"/>
      <c r="H149" s="23"/>
    </row>
    <row r="150" ht="15.75" customHeight="1">
      <c r="F150" s="23"/>
      <c r="H150" s="23"/>
    </row>
    <row r="151" ht="15.75" customHeight="1">
      <c r="F151" s="23"/>
      <c r="H151" s="23"/>
    </row>
    <row r="152" ht="15.75" customHeight="1">
      <c r="F152" s="23"/>
      <c r="H152" s="23"/>
    </row>
    <row r="153" ht="15.75" customHeight="1">
      <c r="F153" s="23"/>
      <c r="H153" s="23"/>
    </row>
    <row r="154" ht="15.75" customHeight="1">
      <c r="F154" s="23"/>
      <c r="H154" s="23"/>
    </row>
    <row r="155" ht="15.75" customHeight="1">
      <c r="F155" s="23"/>
      <c r="H155" s="23"/>
    </row>
    <row r="156" ht="15.75" customHeight="1">
      <c r="F156" s="23"/>
      <c r="H156" s="23"/>
    </row>
    <row r="157" ht="15.75" customHeight="1">
      <c r="F157" s="23"/>
      <c r="H157" s="23"/>
    </row>
    <row r="158" ht="15.75" customHeight="1">
      <c r="F158" s="23"/>
      <c r="H158" s="23"/>
    </row>
    <row r="159" ht="15.75" customHeight="1">
      <c r="F159" s="23"/>
      <c r="H159" s="23"/>
    </row>
    <row r="160" ht="15.75" customHeight="1">
      <c r="F160" s="23"/>
      <c r="H160" s="23"/>
    </row>
    <row r="161" ht="15.75" customHeight="1">
      <c r="F161" s="23"/>
      <c r="H161" s="23"/>
    </row>
    <row r="162" ht="15.75" customHeight="1">
      <c r="F162" s="23"/>
      <c r="H162" s="23"/>
    </row>
    <row r="163" ht="15.75" customHeight="1">
      <c r="F163" s="23"/>
      <c r="H163" s="23"/>
    </row>
    <row r="164" ht="15.75" customHeight="1">
      <c r="F164" s="23"/>
      <c r="H164" s="23"/>
    </row>
    <row r="165" ht="15.75" customHeight="1">
      <c r="F165" s="23"/>
      <c r="H165" s="23"/>
    </row>
    <row r="166" ht="15.75" customHeight="1">
      <c r="F166" s="23"/>
      <c r="H166" s="23"/>
    </row>
    <row r="167" ht="15.75" customHeight="1">
      <c r="F167" s="23"/>
      <c r="H167" s="23"/>
    </row>
    <row r="168" ht="15.75" customHeight="1">
      <c r="F168" s="23"/>
      <c r="H168" s="23"/>
    </row>
    <row r="169" ht="15.75" customHeight="1">
      <c r="F169" s="23"/>
      <c r="H169" s="23"/>
    </row>
    <row r="170" ht="15.75" customHeight="1">
      <c r="F170" s="23"/>
      <c r="H170" s="23"/>
    </row>
    <row r="171" ht="15.75" customHeight="1">
      <c r="F171" s="23"/>
      <c r="H171" s="23"/>
    </row>
    <row r="172" ht="15.75" customHeight="1">
      <c r="F172" s="23"/>
      <c r="H172" s="23"/>
    </row>
    <row r="173" ht="15.75" customHeight="1">
      <c r="F173" s="23"/>
      <c r="H173" s="23"/>
    </row>
    <row r="174" ht="15.75" customHeight="1">
      <c r="F174" s="23"/>
      <c r="H174" s="23"/>
    </row>
    <row r="175" ht="15.75" customHeight="1">
      <c r="F175" s="23"/>
      <c r="H175" s="23"/>
    </row>
    <row r="176" ht="15.75" customHeight="1">
      <c r="F176" s="23"/>
      <c r="H176" s="23"/>
    </row>
    <row r="177" ht="15.75" customHeight="1">
      <c r="F177" s="23"/>
      <c r="H177" s="23"/>
    </row>
    <row r="178" ht="15.75" customHeight="1">
      <c r="F178" s="23"/>
      <c r="H178" s="23"/>
    </row>
    <row r="179" ht="15.75" customHeight="1">
      <c r="F179" s="23"/>
      <c r="H179" s="23"/>
    </row>
    <row r="180" ht="15.75" customHeight="1">
      <c r="F180" s="23"/>
      <c r="H180" s="23"/>
    </row>
    <row r="181" ht="15.75" customHeight="1">
      <c r="F181" s="23"/>
      <c r="H181" s="23"/>
    </row>
    <row r="182" ht="15.75" customHeight="1">
      <c r="F182" s="23"/>
      <c r="H182" s="23"/>
    </row>
    <row r="183" ht="15.75" customHeight="1">
      <c r="F183" s="23"/>
      <c r="H183" s="23"/>
    </row>
    <row r="184" ht="15.75" customHeight="1">
      <c r="F184" s="23"/>
      <c r="H184" s="23"/>
    </row>
    <row r="185" ht="15.75" customHeight="1">
      <c r="F185" s="23"/>
      <c r="H185" s="23"/>
    </row>
    <row r="186" ht="15.75" customHeight="1">
      <c r="F186" s="23"/>
      <c r="H186" s="23"/>
    </row>
    <row r="187" ht="15.75" customHeight="1">
      <c r="F187" s="23"/>
      <c r="H187" s="23"/>
    </row>
    <row r="188" ht="15.75" customHeight="1">
      <c r="F188" s="23"/>
      <c r="H188" s="23"/>
    </row>
    <row r="189" ht="15.75" customHeight="1">
      <c r="F189" s="23"/>
      <c r="H189" s="23"/>
    </row>
    <row r="190" ht="15.75" customHeight="1">
      <c r="F190" s="23"/>
      <c r="H190" s="23"/>
    </row>
    <row r="191" ht="15.75" customHeight="1">
      <c r="F191" s="23"/>
      <c r="H191" s="23"/>
    </row>
    <row r="192" ht="15.75" customHeight="1">
      <c r="F192" s="23"/>
      <c r="H192" s="23"/>
    </row>
    <row r="193" ht="15.75" customHeight="1">
      <c r="F193" s="23"/>
      <c r="H193" s="23"/>
    </row>
    <row r="194" ht="15.75" customHeight="1">
      <c r="F194" s="23"/>
      <c r="H194" s="23"/>
    </row>
    <row r="195" ht="15.75" customHeight="1">
      <c r="F195" s="23"/>
      <c r="H195" s="23"/>
    </row>
    <row r="196" ht="15.75" customHeight="1">
      <c r="F196" s="23"/>
      <c r="H196" s="23"/>
    </row>
    <row r="197" ht="15.75" customHeight="1">
      <c r="F197" s="23"/>
      <c r="H197" s="23"/>
    </row>
    <row r="198" ht="15.75" customHeight="1">
      <c r="F198" s="23"/>
      <c r="H198" s="23"/>
    </row>
    <row r="199" ht="15.75" customHeight="1">
      <c r="F199" s="23"/>
      <c r="H199" s="23"/>
    </row>
    <row r="200" ht="15.75" customHeight="1">
      <c r="F200" s="23"/>
      <c r="H200" s="23"/>
    </row>
    <row r="201" ht="15.75" customHeight="1">
      <c r="F201" s="23"/>
      <c r="H201" s="23"/>
    </row>
    <row r="202" ht="15.75" customHeight="1">
      <c r="F202" s="23"/>
      <c r="H202" s="23"/>
    </row>
    <row r="203" ht="15.75" customHeight="1">
      <c r="F203" s="23"/>
      <c r="H203" s="23"/>
    </row>
    <row r="204" ht="15.75" customHeight="1">
      <c r="F204" s="23"/>
      <c r="H204" s="23"/>
    </row>
    <row r="205" ht="15.75" customHeight="1">
      <c r="F205" s="23"/>
      <c r="H205" s="23"/>
    </row>
    <row r="206" ht="15.75" customHeight="1">
      <c r="F206" s="23"/>
      <c r="H206" s="23"/>
    </row>
    <row r="207" ht="15.75" customHeight="1">
      <c r="F207" s="23"/>
      <c r="H207" s="23"/>
    </row>
    <row r="208" ht="15.75" customHeight="1">
      <c r="F208" s="23"/>
      <c r="H208" s="23"/>
    </row>
    <row r="209" ht="15.75" customHeight="1">
      <c r="F209" s="23"/>
      <c r="H209" s="23"/>
    </row>
    <row r="210" ht="15.75" customHeight="1">
      <c r="F210" s="23"/>
      <c r="H210" s="23"/>
    </row>
    <row r="211" ht="15.75" customHeight="1">
      <c r="F211" s="23"/>
      <c r="H211" s="23"/>
    </row>
    <row r="212" ht="15.75" customHeight="1">
      <c r="F212" s="23"/>
      <c r="H212" s="23"/>
    </row>
    <row r="213" ht="15.75" customHeight="1">
      <c r="F213" s="23"/>
      <c r="H213" s="23"/>
    </row>
    <row r="214" ht="15.75" customHeight="1">
      <c r="F214" s="23"/>
      <c r="H214" s="23"/>
    </row>
    <row r="215" ht="15.75" customHeight="1">
      <c r="F215" s="23"/>
      <c r="H215" s="23"/>
    </row>
    <row r="216" ht="15.75" customHeight="1">
      <c r="F216" s="23"/>
      <c r="H216" s="23"/>
    </row>
    <row r="217" ht="15.75" customHeight="1">
      <c r="F217" s="23"/>
      <c r="H217" s="23"/>
    </row>
    <row r="218" ht="15.75" customHeight="1">
      <c r="F218" s="23"/>
      <c r="H218" s="23"/>
    </row>
    <row r="219" ht="15.75" customHeight="1">
      <c r="F219" s="23"/>
      <c r="H219" s="23"/>
    </row>
    <row r="220" ht="15.75" customHeight="1">
      <c r="F220" s="23"/>
      <c r="H220" s="23"/>
    </row>
    <row r="221" ht="15.75" customHeight="1">
      <c r="F221" s="23"/>
      <c r="H221" s="23"/>
    </row>
    <row r="222" ht="15.75" customHeight="1">
      <c r="F222" s="23"/>
      <c r="H222" s="23"/>
    </row>
    <row r="223" ht="15.75" customHeight="1">
      <c r="F223" s="23"/>
      <c r="H223" s="23"/>
    </row>
    <row r="224" ht="15.75" customHeight="1">
      <c r="F224" s="23"/>
      <c r="H224" s="23"/>
    </row>
    <row r="225" ht="15.75" customHeight="1">
      <c r="F225" s="23"/>
      <c r="H225" s="23"/>
    </row>
    <row r="226" ht="15.75" customHeight="1">
      <c r="F226" s="23"/>
      <c r="H226" s="23"/>
    </row>
    <row r="227" ht="15.75" customHeight="1">
      <c r="F227" s="23"/>
      <c r="H227" s="23"/>
    </row>
    <row r="228" ht="15.75" customHeight="1">
      <c r="F228" s="23"/>
      <c r="H228" s="23"/>
    </row>
    <row r="229" ht="15.75" customHeight="1">
      <c r="F229" s="23"/>
      <c r="H229" s="23"/>
    </row>
    <row r="230" ht="15.75" customHeight="1">
      <c r="F230" s="23"/>
      <c r="H230" s="23"/>
    </row>
    <row r="231" ht="15.75" customHeight="1">
      <c r="F231" s="23"/>
      <c r="H231" s="23"/>
    </row>
    <row r="232" ht="15.75" customHeight="1">
      <c r="F232" s="23"/>
      <c r="H232" s="23"/>
    </row>
    <row r="233" ht="15.75" customHeight="1">
      <c r="F233" s="23"/>
      <c r="H233" s="23"/>
    </row>
    <row r="234" ht="15.75" customHeight="1">
      <c r="F234" s="23"/>
      <c r="H234" s="23"/>
    </row>
    <row r="235" ht="15.75" customHeight="1">
      <c r="F235" s="23"/>
      <c r="H235" s="23"/>
    </row>
    <row r="236" ht="15.75" customHeight="1">
      <c r="F236" s="23"/>
      <c r="H236" s="23"/>
    </row>
    <row r="237" ht="15.75" customHeight="1">
      <c r="F237" s="23"/>
      <c r="H237" s="23"/>
    </row>
    <row r="238" ht="15.75" customHeight="1">
      <c r="F238" s="23"/>
      <c r="H238" s="23"/>
    </row>
    <row r="239" ht="15.75" customHeight="1">
      <c r="F239" s="23"/>
      <c r="H239" s="23"/>
    </row>
    <row r="240" ht="15.75" customHeight="1">
      <c r="F240" s="23"/>
      <c r="H240" s="23"/>
    </row>
    <row r="241" ht="15.75" customHeight="1">
      <c r="F241" s="23"/>
      <c r="H241" s="23"/>
    </row>
    <row r="242" ht="15.75" customHeight="1">
      <c r="F242" s="23"/>
      <c r="H242" s="23"/>
    </row>
    <row r="243" ht="15.75" customHeight="1">
      <c r="F243" s="23"/>
      <c r="H243" s="23"/>
    </row>
    <row r="244" ht="15.75" customHeight="1">
      <c r="F244" s="23"/>
      <c r="H244" s="23"/>
    </row>
    <row r="245" ht="15.75" customHeight="1">
      <c r="F245" s="23"/>
      <c r="H245" s="23"/>
    </row>
    <row r="246" ht="15.75" customHeight="1">
      <c r="F246" s="23"/>
      <c r="H246" s="23"/>
    </row>
    <row r="247" ht="15.75" customHeight="1">
      <c r="F247" s="23"/>
      <c r="H247" s="23"/>
    </row>
    <row r="248" ht="15.75" customHeight="1">
      <c r="F248" s="23"/>
      <c r="H248" s="23"/>
    </row>
    <row r="249" ht="15.75" customHeight="1">
      <c r="F249" s="23"/>
      <c r="H249" s="23"/>
    </row>
    <row r="250" ht="15.75" customHeight="1">
      <c r="F250" s="23"/>
      <c r="H250" s="23"/>
    </row>
    <row r="251" ht="15.75" customHeight="1">
      <c r="F251" s="23"/>
      <c r="H251" s="23"/>
    </row>
    <row r="252" ht="15.75" customHeight="1">
      <c r="F252" s="23"/>
      <c r="H252" s="23"/>
    </row>
    <row r="253" ht="15.75" customHeight="1">
      <c r="F253" s="23"/>
      <c r="H253" s="23"/>
    </row>
    <row r="254" ht="15.75" customHeight="1">
      <c r="F254" s="23"/>
      <c r="H254" s="23"/>
    </row>
    <row r="255" ht="15.75" customHeight="1">
      <c r="F255" s="23"/>
      <c r="H255" s="23"/>
    </row>
    <row r="256" ht="15.75" customHeight="1">
      <c r="F256" s="23"/>
      <c r="H256" s="23"/>
    </row>
    <row r="257" ht="15.75" customHeight="1">
      <c r="F257" s="23"/>
      <c r="H257" s="23"/>
    </row>
    <row r="258" ht="15.75" customHeight="1">
      <c r="F258" s="23"/>
      <c r="H258" s="23"/>
    </row>
    <row r="259" ht="15.75" customHeight="1">
      <c r="F259" s="23"/>
      <c r="H259" s="23"/>
    </row>
    <row r="260" ht="15.75" customHeight="1">
      <c r="F260" s="23"/>
      <c r="H260" s="23"/>
    </row>
    <row r="261" ht="15.75" customHeight="1">
      <c r="F261" s="23"/>
      <c r="H261" s="23"/>
    </row>
    <row r="262" ht="15.75" customHeight="1">
      <c r="F262" s="23"/>
      <c r="H262" s="23"/>
    </row>
    <row r="263" ht="15.75" customHeight="1">
      <c r="F263" s="23"/>
      <c r="H263" s="23"/>
    </row>
    <row r="264" ht="15.75" customHeight="1">
      <c r="F264" s="23"/>
      <c r="H264" s="23"/>
    </row>
    <row r="265" ht="15.75" customHeight="1">
      <c r="F265" s="23"/>
      <c r="H265" s="23"/>
    </row>
    <row r="266" ht="15.75" customHeight="1">
      <c r="F266" s="23"/>
      <c r="H266" s="23"/>
    </row>
    <row r="267" ht="15.75" customHeight="1">
      <c r="F267" s="23"/>
      <c r="H267" s="23"/>
    </row>
    <row r="268" ht="15.75" customHeight="1">
      <c r="F268" s="23"/>
      <c r="H268" s="23"/>
    </row>
    <row r="269" ht="15.75" customHeight="1">
      <c r="F269" s="23"/>
      <c r="H269" s="23"/>
    </row>
    <row r="270" ht="15.75" customHeight="1">
      <c r="F270" s="23"/>
      <c r="H270" s="23"/>
    </row>
    <row r="271" ht="15.75" customHeight="1">
      <c r="F271" s="23"/>
      <c r="H271" s="23"/>
    </row>
    <row r="272" ht="15.75" customHeight="1">
      <c r="F272" s="23"/>
      <c r="H272" s="23"/>
    </row>
    <row r="273" ht="15.75" customHeight="1">
      <c r="F273" s="23"/>
      <c r="H273" s="23"/>
    </row>
    <row r="274" ht="15.75" customHeight="1">
      <c r="F274" s="23"/>
      <c r="H274" s="23"/>
    </row>
    <row r="275" ht="15.75" customHeight="1">
      <c r="F275" s="23"/>
      <c r="H275" s="23"/>
    </row>
    <row r="276" ht="15.75" customHeight="1">
      <c r="F276" s="23"/>
      <c r="H276" s="23"/>
    </row>
    <row r="277" ht="15.75" customHeight="1">
      <c r="F277" s="23"/>
      <c r="H277" s="23"/>
    </row>
    <row r="278" ht="15.75" customHeight="1">
      <c r="F278" s="23"/>
      <c r="H278" s="23"/>
    </row>
    <row r="279" ht="15.75" customHeight="1">
      <c r="F279" s="23"/>
      <c r="H279" s="23"/>
    </row>
    <row r="280" ht="15.75" customHeight="1">
      <c r="F280" s="23"/>
      <c r="H280" s="23"/>
    </row>
    <row r="281" ht="15.75" customHeight="1">
      <c r="F281" s="23"/>
      <c r="H281" s="23"/>
    </row>
    <row r="282" ht="15.75" customHeight="1">
      <c r="F282" s="23"/>
      <c r="H282" s="23"/>
    </row>
    <row r="283" ht="15.75" customHeight="1">
      <c r="F283" s="23"/>
      <c r="H283" s="23"/>
    </row>
    <row r="284" ht="15.75" customHeight="1">
      <c r="F284" s="23"/>
      <c r="H284" s="23"/>
    </row>
    <row r="285" ht="15.75" customHeight="1">
      <c r="F285" s="23"/>
      <c r="H285" s="23"/>
    </row>
    <row r="286" ht="15.75" customHeight="1">
      <c r="F286" s="23"/>
      <c r="H286" s="23"/>
    </row>
    <row r="287" ht="15.75" customHeight="1">
      <c r="F287" s="23"/>
      <c r="H287" s="23"/>
    </row>
    <row r="288" ht="15.75" customHeight="1">
      <c r="F288" s="23"/>
      <c r="H288" s="23"/>
    </row>
    <row r="289" ht="15.75" customHeight="1">
      <c r="F289" s="23"/>
      <c r="H289" s="23"/>
    </row>
    <row r="290" ht="15.75" customHeight="1">
      <c r="F290" s="23"/>
      <c r="H290" s="23"/>
    </row>
    <row r="291" ht="15.75" customHeight="1">
      <c r="F291" s="23"/>
      <c r="H291" s="23"/>
    </row>
    <row r="292" ht="15.75" customHeight="1">
      <c r="F292" s="23"/>
      <c r="H292" s="23"/>
    </row>
    <row r="293" ht="15.75" customHeight="1">
      <c r="F293" s="23"/>
      <c r="H293" s="23"/>
    </row>
    <row r="294" ht="15.75" customHeight="1">
      <c r="F294" s="23"/>
      <c r="H294" s="23"/>
    </row>
    <row r="295" ht="15.75" customHeight="1">
      <c r="F295" s="23"/>
      <c r="H295" s="23"/>
    </row>
    <row r="296" ht="15.75" customHeight="1">
      <c r="F296" s="23"/>
      <c r="H296" s="23"/>
    </row>
    <row r="297" ht="15.75" customHeight="1">
      <c r="F297" s="23"/>
      <c r="H297" s="23"/>
    </row>
    <row r="298" ht="15.75" customHeight="1">
      <c r="F298" s="23"/>
      <c r="H298" s="23"/>
    </row>
    <row r="299" ht="15.75" customHeight="1">
      <c r="F299" s="23"/>
      <c r="H299" s="23"/>
    </row>
    <row r="300" ht="15.75" customHeight="1">
      <c r="F300" s="23"/>
      <c r="H300" s="23"/>
    </row>
    <row r="301" ht="15.75" customHeight="1">
      <c r="F301" s="23"/>
      <c r="H301" s="23"/>
    </row>
    <row r="302" ht="15.75" customHeight="1">
      <c r="F302" s="23"/>
      <c r="H302" s="23"/>
    </row>
    <row r="303" ht="15.75" customHeight="1">
      <c r="F303" s="23"/>
      <c r="H303" s="23"/>
    </row>
    <row r="304" ht="15.75" customHeight="1">
      <c r="F304" s="23"/>
      <c r="H304" s="23"/>
    </row>
    <row r="305" ht="15.75" customHeight="1">
      <c r="F305" s="23"/>
      <c r="H305" s="23"/>
    </row>
    <row r="306" ht="15.75" customHeight="1">
      <c r="F306" s="23"/>
      <c r="H306" s="23"/>
    </row>
    <row r="307" ht="15.75" customHeight="1">
      <c r="F307" s="23"/>
      <c r="H307" s="23"/>
    </row>
    <row r="308" ht="15.75" customHeight="1">
      <c r="F308" s="23"/>
      <c r="H308" s="23"/>
    </row>
    <row r="309" ht="15.75" customHeight="1">
      <c r="F309" s="23"/>
      <c r="H309" s="23"/>
    </row>
    <row r="310" ht="15.75" customHeight="1">
      <c r="F310" s="23"/>
      <c r="H310" s="23"/>
    </row>
    <row r="311" ht="15.75" customHeight="1">
      <c r="F311" s="23"/>
      <c r="H311" s="23"/>
    </row>
    <row r="312" ht="15.75" customHeight="1">
      <c r="F312" s="23"/>
      <c r="H312" s="23"/>
    </row>
    <row r="313" ht="15.75" customHeight="1">
      <c r="F313" s="23"/>
      <c r="H313" s="23"/>
    </row>
    <row r="314" ht="15.75" customHeight="1">
      <c r="F314" s="23"/>
      <c r="H314" s="23"/>
    </row>
    <row r="315" ht="15.75" customHeight="1">
      <c r="F315" s="23"/>
      <c r="H315" s="23"/>
    </row>
    <row r="316" ht="15.75" customHeight="1">
      <c r="F316" s="23"/>
      <c r="H316" s="23"/>
    </row>
    <row r="317" ht="15.75" customHeight="1">
      <c r="F317" s="23"/>
      <c r="H317" s="23"/>
    </row>
    <row r="318" ht="15.75" customHeight="1">
      <c r="F318" s="23"/>
      <c r="H318" s="23"/>
    </row>
    <row r="319" ht="15.75" customHeight="1">
      <c r="F319" s="23"/>
      <c r="H319" s="23"/>
    </row>
    <row r="320" ht="15.75" customHeight="1">
      <c r="F320" s="23"/>
      <c r="H320" s="23"/>
    </row>
    <row r="321" ht="15.75" customHeight="1">
      <c r="F321" s="23"/>
      <c r="H321" s="23"/>
    </row>
    <row r="322" ht="15.75" customHeight="1">
      <c r="F322" s="23"/>
      <c r="H322" s="23"/>
    </row>
    <row r="323" ht="15.75" customHeight="1">
      <c r="F323" s="23"/>
      <c r="H323" s="23"/>
    </row>
    <row r="324" ht="15.75" customHeight="1">
      <c r="F324" s="23"/>
      <c r="H324" s="23"/>
    </row>
    <row r="325" ht="15.75" customHeight="1">
      <c r="F325" s="23"/>
      <c r="H325" s="23"/>
    </row>
    <row r="326" ht="15.75" customHeight="1">
      <c r="F326" s="23"/>
      <c r="H326" s="23"/>
    </row>
    <row r="327" ht="15.75" customHeight="1">
      <c r="F327" s="23"/>
      <c r="H327" s="23"/>
    </row>
    <row r="328" ht="15.75" customHeight="1">
      <c r="F328" s="23"/>
      <c r="H328" s="23"/>
    </row>
    <row r="329" ht="15.75" customHeight="1">
      <c r="F329" s="23"/>
      <c r="H329" s="23"/>
    </row>
    <row r="330" ht="15.75" customHeight="1">
      <c r="F330" s="23"/>
      <c r="H330" s="23"/>
    </row>
    <row r="331" ht="15.75" customHeight="1">
      <c r="F331" s="23"/>
      <c r="H331" s="23"/>
    </row>
    <row r="332" ht="15.75" customHeight="1">
      <c r="F332" s="23"/>
      <c r="H332" s="23"/>
    </row>
    <row r="333" ht="15.75" customHeight="1">
      <c r="F333" s="23"/>
      <c r="H333" s="23"/>
    </row>
    <row r="334" ht="15.75" customHeight="1">
      <c r="F334" s="23"/>
      <c r="H334" s="23"/>
    </row>
    <row r="335" ht="15.75" customHeight="1">
      <c r="F335" s="23"/>
      <c r="H335" s="23"/>
    </row>
    <row r="336" ht="15.75" customHeight="1">
      <c r="F336" s="23"/>
      <c r="H336" s="23"/>
    </row>
    <row r="337" ht="15.75" customHeight="1">
      <c r="F337" s="23"/>
      <c r="H337" s="23"/>
    </row>
    <row r="338" ht="15.75" customHeight="1">
      <c r="F338" s="23"/>
      <c r="H338" s="23"/>
    </row>
    <row r="339" ht="15.75" customHeight="1">
      <c r="F339" s="23"/>
      <c r="H339" s="23"/>
    </row>
    <row r="340" ht="15.75" customHeight="1">
      <c r="F340" s="23"/>
      <c r="H340" s="23"/>
    </row>
    <row r="341" ht="15.75" customHeight="1">
      <c r="F341" s="23"/>
      <c r="H341" s="23"/>
    </row>
    <row r="342" ht="15.75" customHeight="1">
      <c r="F342" s="23"/>
      <c r="H342" s="23"/>
    </row>
    <row r="343" ht="15.75" customHeight="1">
      <c r="F343" s="23"/>
      <c r="H343" s="23"/>
    </row>
    <row r="344" ht="15.75" customHeight="1">
      <c r="F344" s="23"/>
      <c r="H344" s="23"/>
    </row>
    <row r="345" ht="15.75" customHeight="1">
      <c r="F345" s="23"/>
      <c r="H345" s="23"/>
    </row>
    <row r="346" ht="15.75" customHeight="1">
      <c r="F346" s="23"/>
      <c r="H346" s="23"/>
    </row>
    <row r="347" ht="15.75" customHeight="1">
      <c r="F347" s="23"/>
      <c r="H347" s="23"/>
    </row>
    <row r="348" ht="15.75" customHeight="1">
      <c r="F348" s="23"/>
      <c r="H348" s="23"/>
    </row>
    <row r="349" ht="15.75" customHeight="1">
      <c r="F349" s="23"/>
      <c r="H349" s="23"/>
    </row>
    <row r="350" ht="15.75" customHeight="1">
      <c r="F350" s="23"/>
      <c r="H350" s="23"/>
    </row>
    <row r="351" ht="15.75" customHeight="1">
      <c r="F351" s="23"/>
      <c r="H351" s="23"/>
    </row>
    <row r="352" ht="15.75" customHeight="1">
      <c r="F352" s="23"/>
      <c r="H352" s="23"/>
    </row>
    <row r="353" ht="15.75" customHeight="1">
      <c r="F353" s="23"/>
      <c r="H353" s="23"/>
    </row>
    <row r="354" ht="15.75" customHeight="1">
      <c r="F354" s="23"/>
      <c r="H354" s="23"/>
    </row>
    <row r="355" ht="15.75" customHeight="1">
      <c r="F355" s="23"/>
      <c r="H355" s="23"/>
    </row>
    <row r="356" ht="15.75" customHeight="1">
      <c r="F356" s="23"/>
      <c r="H356" s="23"/>
    </row>
    <row r="357" ht="15.75" customHeight="1">
      <c r="F357" s="23"/>
      <c r="H357" s="23"/>
    </row>
    <row r="358" ht="15.75" customHeight="1">
      <c r="F358" s="23"/>
      <c r="H358" s="23"/>
    </row>
    <row r="359" ht="15.75" customHeight="1">
      <c r="F359" s="23"/>
      <c r="H359" s="23"/>
    </row>
    <row r="360" ht="15.75" customHeight="1">
      <c r="F360" s="23"/>
      <c r="H360" s="23"/>
    </row>
    <row r="361" ht="15.75" customHeight="1">
      <c r="F361" s="23"/>
      <c r="H361" s="23"/>
    </row>
    <row r="362" ht="15.75" customHeight="1">
      <c r="F362" s="23"/>
      <c r="H362" s="23"/>
    </row>
    <row r="363" ht="15.75" customHeight="1">
      <c r="F363" s="23"/>
      <c r="H363" s="23"/>
    </row>
    <row r="364" ht="15.75" customHeight="1">
      <c r="F364" s="23"/>
      <c r="H364" s="23"/>
    </row>
    <row r="365" ht="15.75" customHeight="1">
      <c r="F365" s="23"/>
      <c r="H365" s="23"/>
    </row>
    <row r="366" ht="15.75" customHeight="1">
      <c r="F366" s="23"/>
      <c r="H366" s="23"/>
    </row>
    <row r="367" ht="15.75" customHeight="1">
      <c r="F367" s="23"/>
      <c r="H367" s="23"/>
    </row>
    <row r="368" ht="15.75" customHeight="1">
      <c r="F368" s="23"/>
      <c r="H368" s="23"/>
    </row>
    <row r="369" ht="15.75" customHeight="1">
      <c r="F369" s="23"/>
      <c r="H369" s="23"/>
    </row>
    <row r="370" ht="15.75" customHeight="1">
      <c r="F370" s="23"/>
      <c r="H370" s="23"/>
    </row>
    <row r="371" ht="15.75" customHeight="1">
      <c r="F371" s="23"/>
      <c r="H371" s="23"/>
    </row>
    <row r="372" ht="15.75" customHeight="1">
      <c r="F372" s="23"/>
      <c r="H372" s="23"/>
    </row>
    <row r="373" ht="15.75" customHeight="1">
      <c r="F373" s="23"/>
      <c r="H373" s="23"/>
    </row>
    <row r="374" ht="15.75" customHeight="1">
      <c r="F374" s="23"/>
      <c r="H374" s="23"/>
    </row>
    <row r="375" ht="15.75" customHeight="1">
      <c r="F375" s="23"/>
      <c r="H375" s="23"/>
    </row>
    <row r="376" ht="15.75" customHeight="1">
      <c r="F376" s="23"/>
      <c r="H376" s="23"/>
    </row>
    <row r="377" ht="15.75" customHeight="1">
      <c r="F377" s="23"/>
      <c r="H377" s="23"/>
    </row>
    <row r="378" ht="15.75" customHeight="1">
      <c r="F378" s="23"/>
      <c r="H378" s="23"/>
    </row>
    <row r="379" ht="15.75" customHeight="1">
      <c r="F379" s="23"/>
      <c r="H379" s="23"/>
    </row>
    <row r="380" ht="15.75" customHeight="1">
      <c r="F380" s="23"/>
      <c r="H380" s="23"/>
    </row>
    <row r="381" ht="15.75" customHeight="1">
      <c r="F381" s="23"/>
      <c r="H381" s="23"/>
    </row>
    <row r="382" ht="15.75" customHeight="1">
      <c r="F382" s="23"/>
      <c r="H382" s="23"/>
    </row>
    <row r="383" ht="15.75" customHeight="1">
      <c r="F383" s="23"/>
      <c r="H383" s="23"/>
    </row>
    <row r="384" ht="15.75" customHeight="1">
      <c r="F384" s="23"/>
      <c r="H384" s="23"/>
    </row>
    <row r="385" ht="15.75" customHeight="1">
      <c r="F385" s="23"/>
      <c r="H385" s="23"/>
    </row>
    <row r="386" ht="15.75" customHeight="1">
      <c r="F386" s="23"/>
      <c r="H386" s="23"/>
    </row>
    <row r="387" ht="15.75" customHeight="1">
      <c r="F387" s="23"/>
      <c r="H387" s="23"/>
    </row>
    <row r="388" ht="15.75" customHeight="1">
      <c r="F388" s="23"/>
      <c r="H388" s="23"/>
    </row>
    <row r="389" ht="15.75" customHeight="1">
      <c r="F389" s="23"/>
      <c r="H389" s="23"/>
    </row>
    <row r="390" ht="15.75" customHeight="1">
      <c r="F390" s="23"/>
      <c r="H390" s="23"/>
    </row>
    <row r="391" ht="15.75" customHeight="1">
      <c r="F391" s="23"/>
      <c r="H391" s="23"/>
    </row>
    <row r="392" ht="15.75" customHeight="1">
      <c r="F392" s="23"/>
      <c r="H392" s="23"/>
    </row>
    <row r="393" ht="15.75" customHeight="1">
      <c r="F393" s="23"/>
      <c r="H393" s="23"/>
    </row>
    <row r="394" ht="15.75" customHeight="1">
      <c r="F394" s="23"/>
      <c r="H394" s="23"/>
    </row>
    <row r="395" ht="15.75" customHeight="1">
      <c r="F395" s="23"/>
      <c r="H395" s="23"/>
    </row>
    <row r="396" ht="15.75" customHeight="1">
      <c r="F396" s="23"/>
      <c r="H396" s="23"/>
    </row>
    <row r="397" ht="15.75" customHeight="1">
      <c r="F397" s="23"/>
      <c r="H397" s="23"/>
    </row>
    <row r="398" ht="15.75" customHeight="1">
      <c r="F398" s="23"/>
      <c r="H398" s="23"/>
    </row>
    <row r="399" ht="15.75" customHeight="1">
      <c r="F399" s="23"/>
      <c r="H399" s="23"/>
    </row>
    <row r="400" ht="15.75" customHeight="1">
      <c r="F400" s="23"/>
      <c r="H400" s="23"/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400">
      <formula1>"SEEDED,COLD-1,COLD-2,OWNED"</formula1>
    </dataValidation>
    <dataValidation type="list" allowBlank="1" sqref="H2:H400">
      <formula1>"Cold,Help"</formula1>
    </dataValidation>
  </dataValidations>
  <hyperlinks>
    <hyperlink r:id="rId1" ref="B23"/>
    <hyperlink r:id="rId2" ref="B26"/>
    <hyperlink r:id="rId3" ref="B28"/>
    <hyperlink r:id="rId4" ref="B29"/>
    <hyperlink r:id="rId5" ref="B30"/>
    <hyperlink r:id="rId6" ref="B32"/>
  </hyperlinks>
  <printOptions/>
  <pageMargins bottom="1.0" footer="0.0" header="0.0" left="0.75" right="0.75" top="1.0"/>
  <pageSetup paperSize="9" orientation="portrait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0.0"/>
    <col customWidth="1" min="3" max="3" width="34.0"/>
    <col customWidth="1" min="4" max="26" width="8.71"/>
  </cols>
  <sheetData>
    <row r="1">
      <c r="A1" s="24" t="s">
        <v>119</v>
      </c>
      <c r="B1" s="24" t="s">
        <v>120</v>
      </c>
      <c r="C1" s="24" t="s">
        <v>121</v>
      </c>
    </row>
    <row r="2">
      <c r="A2" s="5" t="s">
        <v>122</v>
      </c>
      <c r="B2" s="5" t="s">
        <v>69</v>
      </c>
      <c r="C2" s="5" t="s">
        <v>123</v>
      </c>
    </row>
    <row r="3">
      <c r="A3" s="5" t="s">
        <v>124</v>
      </c>
      <c r="B3" s="5" t="s">
        <v>42</v>
      </c>
      <c r="C3" s="5" t="s">
        <v>125</v>
      </c>
    </row>
    <row r="4">
      <c r="A4" s="5" t="s">
        <v>126</v>
      </c>
      <c r="B4" s="5" t="s">
        <v>55</v>
      </c>
      <c r="C4" s="5" t="s">
        <v>127</v>
      </c>
    </row>
    <row r="5">
      <c r="A5" s="5" t="s">
        <v>128</v>
      </c>
      <c r="B5" s="5" t="s">
        <v>62</v>
      </c>
      <c r="C5" s="5" t="s">
        <v>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2026-06-10T14:08:20Z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